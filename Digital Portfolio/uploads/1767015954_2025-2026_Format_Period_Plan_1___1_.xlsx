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ate\Downloads\"/>
    </mc:Choice>
  </mc:AlternateContent>
  <xr:revisionPtr revIDLastSave="0" documentId="13_ncr:1_{13D881DA-3500-4AB9-9035-7FCADB9611B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lad1" sheetId="1" r:id="rId1"/>
  </sheets>
  <definedNames>
    <definedName name="_Ref154198542" localSheetId="0">Blad1!#REF!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1" l="1"/>
  <c r="Q37" i="1"/>
  <c r="M37" i="1"/>
  <c r="K37" i="1"/>
  <c r="U36" i="1"/>
  <c r="U28" i="1"/>
  <c r="U20" i="1"/>
  <c r="U12" i="1"/>
  <c r="S36" i="1"/>
  <c r="O36" i="1"/>
  <c r="O28" i="1"/>
  <c r="O20" i="1"/>
  <c r="O12" i="1"/>
  <c r="M36" i="1"/>
  <c r="M28" i="1"/>
  <c r="M20" i="1"/>
  <c r="M12" i="1"/>
  <c r="K20" i="1"/>
  <c r="K12" i="1"/>
  <c r="I36" i="1"/>
  <c r="I28" i="1"/>
  <c r="I20" i="1"/>
  <c r="I12" i="1"/>
  <c r="C12" i="1"/>
  <c r="C37" i="1" s="1"/>
  <c r="G36" i="1"/>
  <c r="E36" i="1"/>
  <c r="C20" i="1"/>
  <c r="C36" i="1"/>
  <c r="E28" i="1"/>
  <c r="K28" i="1"/>
  <c r="C28" i="1"/>
  <c r="G28" i="1"/>
  <c r="Q28" i="1"/>
  <c r="S28" i="1"/>
  <c r="S37" i="1" s="1"/>
  <c r="E20" i="1"/>
  <c r="E12" i="1"/>
  <c r="G12" i="1"/>
  <c r="Q12" i="1"/>
  <c r="S12" i="1"/>
  <c r="G20" i="1"/>
  <c r="Q20" i="1"/>
  <c r="S20" i="1"/>
  <c r="K36" i="1"/>
  <c r="Q36" i="1"/>
  <c r="O37" i="1" l="1"/>
  <c r="G37" i="1"/>
  <c r="E37" i="1"/>
  <c r="I37" i="1"/>
  <c r="V12" i="1"/>
  <c r="V20" i="1"/>
  <c r="V28" i="1"/>
  <c r="V36" i="1"/>
  <c r="V37" i="1" l="1"/>
</calcChain>
</file>

<file path=xl/sharedStrings.xml><?xml version="1.0" encoding="utf-8"?>
<sst xmlns="http://schemas.openxmlformats.org/spreadsheetml/2006/main" count="150" uniqueCount="81">
  <si>
    <t>Week</t>
  </si>
  <si>
    <t>Week 1</t>
  </si>
  <si>
    <t>Hours</t>
  </si>
  <si>
    <t>Week 2</t>
  </si>
  <si>
    <t>Week 3</t>
  </si>
  <si>
    <t>Week 4</t>
  </si>
  <si>
    <t>Week 5</t>
  </si>
  <si>
    <t>Week 6</t>
  </si>
  <si>
    <t>Week 7</t>
  </si>
  <si>
    <t>Week 8</t>
  </si>
  <si>
    <t>urentotaal</t>
  </si>
  <si>
    <t>PROFESSIONAL SKILLS</t>
  </si>
  <si>
    <t>Process Class</t>
  </si>
  <si>
    <t>PROJECT</t>
  </si>
  <si>
    <t xml:space="preserve"> </t>
  </si>
  <si>
    <t>TOTAL HOURS PER WEEK</t>
  </si>
  <si>
    <t>WEBDEV</t>
  </si>
  <si>
    <t>Theory class: Planning &amp; Organising</t>
  </si>
  <si>
    <t xml:space="preserve">Assignments : Planning&amp;Organising , The Importance of P &amp; O 
</t>
  </si>
  <si>
    <t>TOTAL</t>
  </si>
  <si>
    <t>Week 9</t>
  </si>
  <si>
    <t>Week 10</t>
  </si>
  <si>
    <t>Period planning period 1</t>
  </si>
  <si>
    <t>1 SCH = 0,75</t>
  </si>
  <si>
    <t>2 SCH = 1,5</t>
  </si>
  <si>
    <t>3 SCH = 2,25</t>
  </si>
  <si>
    <t>And so on</t>
  </si>
  <si>
    <t>NOTE:</t>
  </si>
  <si>
    <t>WEB DEVELOPMENT- LECTURE</t>
  </si>
  <si>
    <t>WEB DEVELOPMENT- TUTORIAL</t>
  </si>
  <si>
    <t>INFORMATION MANAGEMENT -LECTURE</t>
  </si>
  <si>
    <t>PROJECT WEB DEVELOPMENT AND DESIGN</t>
  </si>
  <si>
    <t>PROJECT WEB DEVELOPMENT AND DESING -ATEIER</t>
  </si>
  <si>
    <t>WEB DEVELOPMENT -TUTORIAL</t>
  </si>
  <si>
    <t>PROJECT WED DEVELOPMENT AND DESIGN- ATEIER</t>
  </si>
  <si>
    <t>INFORMAMTION MANAGEMENT - LECTURE</t>
  </si>
  <si>
    <t>WEB DEVELOPMENT - TUTORIAL</t>
  </si>
  <si>
    <t>INFORMATION MANAGEMENT - LECTURE</t>
  </si>
  <si>
    <t>PROJECT WEB DEVELOPMENT AND DESIGN- ATEIER</t>
  </si>
  <si>
    <t>PROCESS CLASS</t>
  </si>
  <si>
    <t>PLANING AND PROJECT</t>
  </si>
  <si>
    <t>THEORY CLASS</t>
  </si>
  <si>
    <t>WEB DEVELOPMENTLOPMENT - LECTURE</t>
  </si>
  <si>
    <t>WEB DEVELOPMENTLOPMENT - TUTORIAL</t>
  </si>
  <si>
    <t xml:space="preserve">INFORNATION MANAGEMENT </t>
  </si>
  <si>
    <t>PROFESSINAL SKILL - THEORY</t>
  </si>
  <si>
    <t>PROJECT WEB DEV AND DESIGN</t>
  </si>
  <si>
    <t>WED DEV- TUTORIAL</t>
  </si>
  <si>
    <t xml:space="preserve">PROJECT WEB DEV AND DESIGN </t>
  </si>
  <si>
    <t>WEB DEV - TUTORIAL</t>
  </si>
  <si>
    <t>PROFESSIONAL SKILLS - THEORY</t>
  </si>
  <si>
    <t>WEB DEV - LECTURE</t>
  </si>
  <si>
    <t xml:space="preserve">WEB DEV - TUTORIAL </t>
  </si>
  <si>
    <t>PROFESSIONAL SKILLS - PROCESS</t>
  </si>
  <si>
    <t xml:space="preserve">PROJECT WEB DEV  </t>
  </si>
  <si>
    <t>PROJECT WEB DEV  AND DESIGN</t>
  </si>
  <si>
    <t xml:space="preserve">PROJECT WEB DEV </t>
  </si>
  <si>
    <t>PROFESSIONAL SKILLS - PORCESS</t>
  </si>
  <si>
    <t xml:space="preserve">WEB DEV </t>
  </si>
  <si>
    <t>PROJECT DEV AND DESIGN</t>
  </si>
  <si>
    <t>WEB DEVLOPMENT</t>
  </si>
  <si>
    <t>PROFESSIONAL SKILLS LIBRARY</t>
  </si>
  <si>
    <t>WEB DEVLOPMENT TUTORIAL</t>
  </si>
  <si>
    <t xml:space="preserve">WEB DEVELOPMENT  -LECTURE </t>
  </si>
  <si>
    <t>WEB DEVELOPMENT  - TUTORIAL</t>
  </si>
  <si>
    <t>PROJECT WEB DEVELOPMEMENT AND DESIGN</t>
  </si>
  <si>
    <t>PROFESSIONAL SKILLS - PROCCESS</t>
  </si>
  <si>
    <t xml:space="preserve">WEB DEVELOPMENT HOME WORK PRACTICE </t>
  </si>
  <si>
    <t>READING AND ASSIGMENT</t>
  </si>
  <si>
    <t xml:space="preserve">TEAM MEETINGS AND CODING </t>
  </si>
  <si>
    <t xml:space="preserve">PROJECT WORKS </t>
  </si>
  <si>
    <t>WEB DEVELOPMENT HOME WORK PRACTICE</t>
  </si>
  <si>
    <t>ASSIGMENT</t>
  </si>
  <si>
    <t>TEAM MEETINGS AND CODING</t>
  </si>
  <si>
    <t xml:space="preserve">SELF STUDY </t>
  </si>
  <si>
    <t xml:space="preserve">GROUP MEETINGS AND CODING </t>
  </si>
  <si>
    <t xml:space="preserve">HOME WORK PRACTICE </t>
  </si>
  <si>
    <t xml:space="preserve">ASSIGNMENT </t>
  </si>
  <si>
    <t>SELF STUDY</t>
  </si>
  <si>
    <t xml:space="preserve">ASSINGMENT </t>
  </si>
  <si>
    <t xml:space="preserve">ASSINGNMENT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</si>
</sst>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3" fillId="0" borderId="0" xfId="0" applyFont="1"/>
    <xf numFmtId="0" fontId="0" fillId="0" borderId="0" xfId="0" applyAlignment="1">
      <alignment horizontal="right"/>
    </xf>
    <xf numFmtId="0" fontId="3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/>
    <xf numFmtId="0" fontId="0" fillId="0" borderId="8" xfId="0" applyBorder="1"/>
    <xf numFmtId="0" fontId="5" fillId="0" borderId="7" xfId="0" applyFont="1" applyBorder="1"/>
    <xf numFmtId="0" fontId="6" fillId="0" borderId="8" xfId="0" applyFont="1" applyBorder="1"/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wrapText="1"/>
    </xf>
    <xf numFmtId="0" fontId="3" fillId="0" borderId="3" xfId="0" applyFont="1" applyBorder="1" applyAlignment="1">
      <alignment horizontal="center"/>
    </xf>
    <xf numFmtId="0" fontId="7" fillId="0" borderId="0" xfId="0" applyFont="1"/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7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/>
    <xf numFmtId="0" fontId="6" fillId="4" borderId="10" xfId="0" applyFont="1" applyFill="1" applyBorder="1"/>
    <xf numFmtId="0" fontId="6" fillId="4" borderId="1" xfId="0" applyFont="1" applyFill="1" applyBorder="1"/>
    <xf numFmtId="0" fontId="3" fillId="4" borderId="1" xfId="0" applyFont="1" applyFill="1" applyBorder="1"/>
    <xf numFmtId="0" fontId="0" fillId="4" borderId="10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/>
    <xf numFmtId="0" fontId="0" fillId="4" borderId="3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/>
    <xf numFmtId="0" fontId="2" fillId="5" borderId="1" xfId="2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/>
    </xf>
    <xf numFmtId="2" fontId="3" fillId="5" borderId="8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3" fillId="4" borderId="5" xfId="0" applyNumberFormat="1" applyFont="1" applyFill="1" applyBorder="1"/>
    <xf numFmtId="2" fontId="3" fillId="4" borderId="1" xfId="0" applyNumberFormat="1" applyFont="1" applyFill="1" applyBorder="1"/>
    <xf numFmtId="2" fontId="0" fillId="4" borderId="1" xfId="0" applyNumberFormat="1" applyFill="1" applyBorder="1" applyAlignment="1">
      <alignment horizontal="center"/>
    </xf>
    <xf numFmtId="0" fontId="3" fillId="5" borderId="11" xfId="0" applyFont="1" applyFill="1" applyBorder="1"/>
    <xf numFmtId="0" fontId="0" fillId="5" borderId="11" xfId="0" applyFill="1" applyBorder="1"/>
    <xf numFmtId="0" fontId="0" fillId="5" borderId="1" xfId="0" applyFill="1" applyBorder="1"/>
    <xf numFmtId="2" fontId="0" fillId="5" borderId="11" xfId="0" applyNumberFormat="1" applyFill="1" applyBorder="1"/>
    <xf numFmtId="0" fontId="0" fillId="0" borderId="11" xfId="0" applyBorder="1"/>
    <xf numFmtId="0" fontId="0" fillId="0" borderId="12" xfId="0" applyBorder="1"/>
    <xf numFmtId="2" fontId="3" fillId="5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3">
    <cellStyle name="40% - Accent1" xfId="1" builtinId="31"/>
    <cellStyle name="60% - Accent1" xfId="2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44"/>
  <sheetViews>
    <sheetView tabSelected="1" topLeftCell="H1" zoomScale="88" zoomScaleNormal="70" workbookViewId="0">
      <selection activeCell="D9" sqref="D9"/>
    </sheetView>
  </sheetViews>
  <sheetFormatPr defaultColWidth="8.796875" defaultRowHeight="14.25" x14ac:dyDescent="0.45"/>
  <cols>
    <col min="1" max="1" width="27.46484375" customWidth="1"/>
    <col min="2" max="2" width="57" customWidth="1"/>
    <col min="3" max="3" width="6.59765625" style="1" customWidth="1"/>
    <col min="4" max="4" width="57.46484375" customWidth="1"/>
    <col min="5" max="5" width="5.59765625" style="1" bestFit="1" customWidth="1"/>
    <col min="6" max="6" width="59" customWidth="1"/>
    <col min="7" max="7" width="6.59765625" style="1" customWidth="1"/>
    <col min="8" max="8" width="65.46484375" customWidth="1"/>
    <col min="9" max="9" width="5.796875" style="1" customWidth="1"/>
    <col min="10" max="10" width="65.46484375" customWidth="1"/>
    <col min="11" max="11" width="6.59765625" style="1" customWidth="1"/>
    <col min="12" max="12" width="67.46484375" customWidth="1"/>
    <col min="13" max="13" width="6.59765625" style="1" customWidth="1"/>
    <col min="14" max="14" width="54.46484375" style="1" customWidth="1"/>
    <col min="15" max="15" width="6.59765625" style="1" customWidth="1"/>
    <col min="16" max="16" width="77.46484375" style="1" customWidth="1"/>
    <col min="17" max="17" width="6.59765625" style="1" customWidth="1"/>
    <col min="18" max="18" width="53.46484375" customWidth="1"/>
    <col min="19" max="19" width="6.59765625" style="1" customWidth="1"/>
    <col min="20" max="20" width="48.19921875" customWidth="1"/>
    <col min="21" max="21" width="6.59765625" customWidth="1"/>
    <col min="22" max="22" width="11.19921875" style="1" customWidth="1"/>
    <col min="23" max="23" width="57.46484375" customWidth="1"/>
    <col min="24" max="24" width="5.19921875" style="1" customWidth="1"/>
    <col min="26" max="26" width="10.46484375" customWidth="1"/>
  </cols>
  <sheetData>
    <row r="1" spans="1:24" ht="23.25" x14ac:dyDescent="0.7">
      <c r="A1" s="23" t="s">
        <v>22</v>
      </c>
      <c r="K1" s="11"/>
    </row>
    <row r="2" spans="1:24" x14ac:dyDescent="0.45">
      <c r="K2" s="11"/>
    </row>
    <row r="3" spans="1:24" s="3" customFormat="1" x14ac:dyDescent="0.45">
      <c r="A3" s="44" t="s">
        <v>0</v>
      </c>
      <c r="B3" s="45" t="s">
        <v>1</v>
      </c>
      <c r="C3" s="46" t="s">
        <v>2</v>
      </c>
      <c r="D3" s="47" t="s">
        <v>3</v>
      </c>
      <c r="E3" s="48" t="s">
        <v>2</v>
      </c>
      <c r="F3" s="47" t="s">
        <v>4</v>
      </c>
      <c r="G3" s="46" t="s">
        <v>2</v>
      </c>
      <c r="H3" s="47" t="s">
        <v>5</v>
      </c>
      <c r="I3" s="47" t="s">
        <v>2</v>
      </c>
      <c r="J3" s="47" t="s">
        <v>6</v>
      </c>
      <c r="K3" s="46" t="s">
        <v>2</v>
      </c>
      <c r="L3" s="45" t="s">
        <v>7</v>
      </c>
      <c r="M3" s="46" t="s">
        <v>2</v>
      </c>
      <c r="N3" s="46" t="s">
        <v>8</v>
      </c>
      <c r="O3" s="46" t="s">
        <v>2</v>
      </c>
      <c r="P3" s="47" t="s">
        <v>9</v>
      </c>
      <c r="Q3" s="46" t="s">
        <v>2</v>
      </c>
      <c r="R3" s="47" t="s">
        <v>20</v>
      </c>
      <c r="S3" s="46" t="s">
        <v>2</v>
      </c>
      <c r="T3" s="47" t="s">
        <v>21</v>
      </c>
      <c r="U3" s="47" t="s">
        <v>2</v>
      </c>
      <c r="V3" s="46" t="s">
        <v>10</v>
      </c>
    </row>
    <row r="4" spans="1:24" x14ac:dyDescent="0.45">
      <c r="A4" s="36"/>
      <c r="B4" s="37"/>
      <c r="C4" s="38"/>
      <c r="D4" s="39"/>
      <c r="E4" s="38"/>
      <c r="F4" s="37"/>
      <c r="G4" s="38"/>
      <c r="H4" s="37"/>
      <c r="I4" s="38"/>
      <c r="J4" s="37"/>
      <c r="K4" s="40"/>
      <c r="L4" s="41"/>
      <c r="M4" s="29"/>
      <c r="N4" s="31"/>
      <c r="O4" s="42"/>
      <c r="P4" s="37"/>
      <c r="Q4" s="29"/>
      <c r="R4" s="37"/>
      <c r="S4" s="38"/>
      <c r="T4" s="37"/>
      <c r="U4" s="43"/>
      <c r="V4" s="43"/>
      <c r="X4"/>
    </row>
    <row r="5" spans="1:24" x14ac:dyDescent="0.45">
      <c r="A5" s="24" t="s">
        <v>16</v>
      </c>
      <c r="B5" s="7" t="s">
        <v>28</v>
      </c>
      <c r="C5" s="8">
        <v>0.75</v>
      </c>
      <c r="D5" s="7" t="s">
        <v>36</v>
      </c>
      <c r="E5" s="8">
        <v>1.5</v>
      </c>
      <c r="F5" s="7" t="s">
        <v>42</v>
      </c>
      <c r="G5" s="8">
        <v>0.75</v>
      </c>
      <c r="H5" s="7" t="s">
        <v>49</v>
      </c>
      <c r="I5" s="8">
        <v>1.5</v>
      </c>
      <c r="J5" s="7" t="s">
        <v>52</v>
      </c>
      <c r="K5" s="8">
        <v>1.5</v>
      </c>
      <c r="L5" s="7" t="s">
        <v>51</v>
      </c>
      <c r="M5" s="8">
        <v>0.75</v>
      </c>
      <c r="N5" s="7" t="s">
        <v>58</v>
      </c>
      <c r="O5" s="8">
        <v>0.75</v>
      </c>
      <c r="P5" s="60"/>
      <c r="Q5" s="10"/>
      <c r="R5" s="17" t="s">
        <v>63</v>
      </c>
      <c r="S5" s="8">
        <v>0.75</v>
      </c>
      <c r="T5" s="7" t="s">
        <v>58</v>
      </c>
      <c r="U5" s="17">
        <v>0.75</v>
      </c>
      <c r="V5" s="17"/>
      <c r="X5"/>
    </row>
    <row r="6" spans="1:24" x14ac:dyDescent="0.45">
      <c r="A6" s="25"/>
      <c r="B6" s="6" t="s">
        <v>29</v>
      </c>
      <c r="C6" s="16">
        <v>1.5</v>
      </c>
      <c r="D6" s="6" t="s">
        <v>37</v>
      </c>
      <c r="E6" s="11">
        <v>1.5</v>
      </c>
      <c r="F6" s="14" t="s">
        <v>43</v>
      </c>
      <c r="G6" s="11">
        <v>1.5</v>
      </c>
      <c r="H6" s="14" t="s">
        <v>51</v>
      </c>
      <c r="I6" s="11">
        <v>1.5</v>
      </c>
      <c r="J6" s="14" t="s">
        <v>51</v>
      </c>
      <c r="K6" s="11">
        <v>0.75</v>
      </c>
      <c r="L6" s="6" t="s">
        <v>49</v>
      </c>
      <c r="M6" s="11">
        <v>1.5</v>
      </c>
      <c r="N6" s="6" t="s">
        <v>60</v>
      </c>
      <c r="O6" s="11">
        <v>1.5</v>
      </c>
      <c r="P6" s="6"/>
      <c r="Q6" s="10"/>
      <c r="R6" s="6" t="s">
        <v>64</v>
      </c>
      <c r="S6" s="11">
        <v>2.75</v>
      </c>
      <c r="T6" s="6" t="s">
        <v>74</v>
      </c>
      <c r="U6" s="2">
        <v>10</v>
      </c>
      <c r="V6" s="2"/>
      <c r="X6"/>
    </row>
    <row r="7" spans="1:24" x14ac:dyDescent="0.45">
      <c r="A7" s="25"/>
      <c r="B7" s="6" t="s">
        <v>30</v>
      </c>
      <c r="C7" s="16">
        <v>1.5</v>
      </c>
      <c r="D7" s="6" t="s">
        <v>36</v>
      </c>
      <c r="E7" s="11">
        <v>1.5</v>
      </c>
      <c r="F7" s="14" t="s">
        <v>47</v>
      </c>
      <c r="G7" s="11">
        <v>2.5</v>
      </c>
      <c r="H7" s="14" t="s">
        <v>49</v>
      </c>
      <c r="I7" s="11">
        <v>1.5</v>
      </c>
      <c r="J7" s="14" t="s">
        <v>49</v>
      </c>
      <c r="K7" s="11">
        <v>1.5</v>
      </c>
      <c r="L7" s="6" t="s">
        <v>49</v>
      </c>
      <c r="M7" s="11">
        <v>2.5</v>
      </c>
      <c r="N7" s="6" t="s">
        <v>62</v>
      </c>
      <c r="O7" s="11">
        <v>0.75</v>
      </c>
      <c r="P7" s="6"/>
      <c r="Q7" s="11"/>
      <c r="R7" s="6" t="s">
        <v>36</v>
      </c>
      <c r="S7" s="11">
        <v>2.75</v>
      </c>
      <c r="T7" s="6"/>
      <c r="U7" s="2"/>
      <c r="V7" s="2"/>
      <c r="X7"/>
    </row>
    <row r="8" spans="1:24" x14ac:dyDescent="0.45">
      <c r="A8" s="25"/>
      <c r="B8" s="6" t="s">
        <v>33</v>
      </c>
      <c r="C8" s="10">
        <v>2.5</v>
      </c>
      <c r="D8" s="6" t="s">
        <v>71</v>
      </c>
      <c r="E8" s="10">
        <v>10</v>
      </c>
      <c r="F8" s="12" t="s">
        <v>71</v>
      </c>
      <c r="G8" s="10">
        <v>10</v>
      </c>
      <c r="H8" s="6" t="s">
        <v>76</v>
      </c>
      <c r="I8" s="10">
        <v>10</v>
      </c>
      <c r="J8" s="6" t="s">
        <v>74</v>
      </c>
      <c r="K8" s="10">
        <v>10</v>
      </c>
      <c r="L8" s="6" t="s">
        <v>77</v>
      </c>
      <c r="M8" s="10">
        <v>10</v>
      </c>
      <c r="N8" s="6" t="s">
        <v>74</v>
      </c>
      <c r="O8" s="10">
        <v>10</v>
      </c>
      <c r="P8" s="6"/>
      <c r="Q8" s="10"/>
      <c r="R8" s="6" t="s">
        <v>77</v>
      </c>
      <c r="S8" s="10">
        <v>8</v>
      </c>
      <c r="T8" s="6"/>
      <c r="U8" s="2"/>
      <c r="V8" s="2"/>
      <c r="X8"/>
    </row>
    <row r="9" spans="1:24" x14ac:dyDescent="0.45">
      <c r="A9" s="25"/>
      <c r="B9" s="14" t="s">
        <v>67</v>
      </c>
      <c r="C9" s="10">
        <v>9</v>
      </c>
      <c r="D9" s="6"/>
      <c r="E9" s="16"/>
      <c r="F9" s="12"/>
      <c r="G9" s="16"/>
      <c r="H9" s="6"/>
      <c r="I9" s="16"/>
      <c r="J9" s="6"/>
      <c r="K9" s="16"/>
      <c r="L9" s="6"/>
      <c r="M9" s="16"/>
      <c r="N9" s="6"/>
      <c r="O9" s="16"/>
      <c r="P9" s="6"/>
      <c r="Q9" s="16"/>
      <c r="R9" s="6"/>
      <c r="S9" s="16"/>
      <c r="T9" s="6"/>
      <c r="U9" s="2"/>
      <c r="V9" s="2"/>
      <c r="X9"/>
    </row>
    <row r="10" spans="1:24" x14ac:dyDescent="0.45">
      <c r="A10" s="27"/>
      <c r="B10" s="14"/>
      <c r="C10" s="10"/>
      <c r="D10" s="6"/>
      <c r="E10" s="16"/>
      <c r="F10" s="12"/>
      <c r="G10" s="16"/>
      <c r="H10" s="6"/>
      <c r="I10" s="16"/>
      <c r="J10" s="6"/>
      <c r="K10" s="16"/>
      <c r="L10" s="6"/>
      <c r="M10" s="16"/>
      <c r="N10" s="6"/>
      <c r="O10" s="16"/>
      <c r="P10" s="6"/>
      <c r="Q10" s="16"/>
      <c r="R10" s="6"/>
      <c r="S10" s="16"/>
      <c r="T10" s="6"/>
      <c r="U10" s="2"/>
      <c r="V10" s="2"/>
      <c r="X10"/>
    </row>
    <row r="11" spans="1:24" x14ac:dyDescent="0.45">
      <c r="A11" s="26"/>
      <c r="B11" s="13"/>
      <c r="C11" s="9"/>
      <c r="D11" s="13"/>
      <c r="E11" s="9"/>
      <c r="F11" s="15"/>
      <c r="G11" s="9"/>
      <c r="H11" s="13"/>
      <c r="I11" s="9"/>
      <c r="J11" s="13"/>
      <c r="K11" s="9"/>
      <c r="L11" s="13"/>
      <c r="M11" s="9"/>
      <c r="N11" s="13"/>
      <c r="O11" s="9"/>
      <c r="P11" s="13"/>
      <c r="Q11" s="9"/>
      <c r="R11" s="13"/>
      <c r="S11" s="9"/>
      <c r="T11" s="13"/>
      <c r="U11" s="18"/>
      <c r="V11" s="18"/>
      <c r="X11"/>
    </row>
    <row r="12" spans="1:24" x14ac:dyDescent="0.45">
      <c r="A12" s="30" t="s">
        <v>19</v>
      </c>
      <c r="B12" s="31"/>
      <c r="C12" s="49">
        <f>SUM(C5:C11)</f>
        <v>15.25</v>
      </c>
      <c r="D12" s="31"/>
      <c r="E12" s="49">
        <f>SUM(E5:E11)</f>
        <v>14.5</v>
      </c>
      <c r="F12" s="32"/>
      <c r="G12" s="49">
        <f>SUM(G5:G11)</f>
        <v>14.75</v>
      </c>
      <c r="H12" s="35"/>
      <c r="I12" s="49">
        <f>SUM(I5:I11)</f>
        <v>14.5</v>
      </c>
      <c r="J12" s="31"/>
      <c r="K12" s="49">
        <f>SUM(K5:K11)</f>
        <v>13.75</v>
      </c>
      <c r="L12" s="31"/>
      <c r="M12" s="49">
        <f>SUM(M5:M11)</f>
        <v>14.75</v>
      </c>
      <c r="N12" s="31"/>
      <c r="O12" s="49">
        <f>SUM(O5:O11)</f>
        <v>13</v>
      </c>
      <c r="P12" s="31"/>
      <c r="Q12" s="49">
        <f>SUM(Q5:Q11)</f>
        <v>0</v>
      </c>
      <c r="R12" s="31"/>
      <c r="S12" s="49">
        <f>SUM(S5:S11)</f>
        <v>14.25</v>
      </c>
      <c r="T12" s="31"/>
      <c r="U12" s="52">
        <f>SUM(U5:U11)</f>
        <v>10.75</v>
      </c>
      <c r="V12" s="52">
        <f>SUM(C12,E12,G12,I12,K12,M12,O12,Q12,S12,U12)</f>
        <v>125.5</v>
      </c>
      <c r="X12"/>
    </row>
    <row r="13" spans="1:24" ht="15" customHeight="1" x14ac:dyDescent="0.45">
      <c r="A13" s="25" t="s">
        <v>13</v>
      </c>
      <c r="B13" s="6" t="s">
        <v>31</v>
      </c>
      <c r="C13" s="10">
        <v>0.75</v>
      </c>
      <c r="D13" s="6" t="s">
        <v>38</v>
      </c>
      <c r="E13" s="10">
        <v>1.5</v>
      </c>
      <c r="F13" s="6" t="s">
        <v>46</v>
      </c>
      <c r="G13" s="10">
        <v>1</v>
      </c>
      <c r="H13" s="6" t="s">
        <v>48</v>
      </c>
      <c r="I13" s="10">
        <v>1</v>
      </c>
      <c r="J13" s="6" t="s">
        <v>54</v>
      </c>
      <c r="K13" s="10">
        <v>3</v>
      </c>
      <c r="L13" s="6" t="s">
        <v>46</v>
      </c>
      <c r="M13" s="8">
        <v>3</v>
      </c>
      <c r="N13" s="6" t="s">
        <v>59</v>
      </c>
      <c r="O13" s="8">
        <v>3</v>
      </c>
      <c r="P13" s="6"/>
      <c r="Q13" s="8"/>
      <c r="R13" s="6" t="s">
        <v>65</v>
      </c>
      <c r="S13" s="8">
        <v>3</v>
      </c>
      <c r="T13" s="6" t="s">
        <v>31</v>
      </c>
      <c r="U13" s="2">
        <v>4.75</v>
      </c>
      <c r="V13" s="2"/>
      <c r="X13"/>
    </row>
    <row r="14" spans="1:24" x14ac:dyDescent="0.45">
      <c r="A14" s="25"/>
      <c r="B14" s="6" t="s">
        <v>31</v>
      </c>
      <c r="C14" s="10">
        <v>1.5</v>
      </c>
      <c r="D14" s="6" t="s">
        <v>38</v>
      </c>
      <c r="E14" s="10">
        <v>1.5</v>
      </c>
      <c r="F14" s="6" t="s">
        <v>48</v>
      </c>
      <c r="G14" s="10">
        <v>3</v>
      </c>
      <c r="H14" s="6" t="s">
        <v>48</v>
      </c>
      <c r="I14" s="10">
        <v>1.5</v>
      </c>
      <c r="J14" s="6" t="s">
        <v>55</v>
      </c>
      <c r="K14" s="10">
        <v>1</v>
      </c>
      <c r="L14" s="6" t="s">
        <v>46</v>
      </c>
      <c r="M14" s="11">
        <v>3</v>
      </c>
      <c r="N14" s="6" t="s">
        <v>59</v>
      </c>
      <c r="O14" s="11">
        <v>3</v>
      </c>
      <c r="P14" s="6"/>
      <c r="Q14" s="11"/>
      <c r="R14" s="6" t="s">
        <v>65</v>
      </c>
      <c r="S14" s="11">
        <v>3</v>
      </c>
      <c r="T14" s="6" t="s">
        <v>31</v>
      </c>
      <c r="U14" s="2">
        <v>3.75</v>
      </c>
      <c r="V14" s="2"/>
      <c r="X14"/>
    </row>
    <row r="15" spans="1:24" x14ac:dyDescent="0.45">
      <c r="A15" s="25"/>
      <c r="B15" s="6" t="s">
        <v>32</v>
      </c>
      <c r="C15" s="10">
        <v>1</v>
      </c>
      <c r="D15" t="s">
        <v>40</v>
      </c>
      <c r="E15" s="10">
        <v>1.5</v>
      </c>
      <c r="F15" s="12" t="s">
        <v>75</v>
      </c>
      <c r="G15" s="10">
        <v>6</v>
      </c>
      <c r="H15" s="6" t="s">
        <v>48</v>
      </c>
      <c r="I15" s="10">
        <v>2</v>
      </c>
      <c r="J15" s="6" t="s">
        <v>56</v>
      </c>
      <c r="K15" s="10">
        <v>0.75</v>
      </c>
      <c r="L15" s="6" t="s">
        <v>46</v>
      </c>
      <c r="M15" s="10">
        <v>1.5</v>
      </c>
      <c r="N15" s="6" t="s">
        <v>59</v>
      </c>
      <c r="O15" s="10">
        <v>3</v>
      </c>
      <c r="P15" s="6"/>
      <c r="Q15" s="10"/>
      <c r="R15" s="6" t="s">
        <v>65</v>
      </c>
      <c r="S15" s="10">
        <v>3</v>
      </c>
      <c r="T15" s="6"/>
      <c r="U15" s="2"/>
      <c r="V15" s="2"/>
      <c r="X15"/>
    </row>
    <row r="16" spans="1:24" x14ac:dyDescent="0.45">
      <c r="A16" s="25"/>
      <c r="B16" s="6" t="s">
        <v>34</v>
      </c>
      <c r="C16" s="10">
        <v>1.5</v>
      </c>
      <c r="D16" s="6" t="s">
        <v>31</v>
      </c>
      <c r="E16" s="10">
        <v>1</v>
      </c>
      <c r="F16" s="12"/>
      <c r="G16" s="10"/>
      <c r="H16" s="6" t="s">
        <v>48</v>
      </c>
      <c r="I16" s="10">
        <v>3</v>
      </c>
      <c r="J16" s="6" t="s">
        <v>48</v>
      </c>
      <c r="K16" s="10">
        <v>3</v>
      </c>
      <c r="L16" s="6" t="s">
        <v>77</v>
      </c>
      <c r="M16" s="10">
        <v>6</v>
      </c>
      <c r="N16" s="6" t="s">
        <v>78</v>
      </c>
      <c r="O16" s="10">
        <v>10</v>
      </c>
      <c r="P16" s="6"/>
      <c r="Q16" s="10"/>
      <c r="R16" s="6" t="s">
        <v>65</v>
      </c>
      <c r="S16" s="10">
        <v>2.75</v>
      </c>
      <c r="T16" s="6"/>
      <c r="U16" s="2"/>
      <c r="V16" s="2"/>
      <c r="X16"/>
    </row>
    <row r="17" spans="1:24" x14ac:dyDescent="0.45">
      <c r="A17" s="25"/>
      <c r="B17" s="6" t="s">
        <v>70</v>
      </c>
      <c r="C17" s="10">
        <v>6</v>
      </c>
      <c r="D17" s="6" t="s">
        <v>73</v>
      </c>
      <c r="E17" s="10">
        <v>5</v>
      </c>
      <c r="F17" s="12"/>
      <c r="G17" s="10"/>
      <c r="H17" s="6" t="s">
        <v>74</v>
      </c>
      <c r="I17" s="10">
        <v>8</v>
      </c>
      <c r="J17" s="6" t="s">
        <v>78</v>
      </c>
      <c r="K17" s="10">
        <v>8</v>
      </c>
      <c r="L17" s="6"/>
      <c r="M17" s="10"/>
      <c r="N17" s="6"/>
      <c r="O17" s="10"/>
      <c r="P17" s="6"/>
      <c r="Q17" s="10"/>
      <c r="R17" s="6"/>
      <c r="S17" s="10"/>
      <c r="T17" s="19"/>
      <c r="U17" s="19"/>
      <c r="V17" s="10"/>
      <c r="X17"/>
    </row>
    <row r="18" spans="1:24" x14ac:dyDescent="0.45">
      <c r="A18" s="25"/>
      <c r="B18" s="6" t="s">
        <v>69</v>
      </c>
      <c r="C18" s="10">
        <v>6</v>
      </c>
      <c r="D18" s="6"/>
      <c r="E18" s="10"/>
      <c r="F18" s="12"/>
      <c r="G18" s="10"/>
      <c r="H18" s="6"/>
      <c r="I18" s="10"/>
      <c r="J18" s="6"/>
      <c r="K18" s="10"/>
      <c r="L18" s="6"/>
      <c r="M18" s="10"/>
      <c r="N18" s="6"/>
      <c r="O18" s="10"/>
      <c r="P18" s="6"/>
      <c r="Q18" s="10"/>
      <c r="R18" s="6"/>
      <c r="S18" s="10"/>
      <c r="T18" s="19"/>
      <c r="U18" s="19"/>
      <c r="V18" s="6"/>
      <c r="X18"/>
    </row>
    <row r="19" spans="1:24" x14ac:dyDescent="0.45">
      <c r="A19" s="25"/>
      <c r="B19" s="6"/>
      <c r="C19" s="10"/>
      <c r="D19" s="6"/>
      <c r="E19" s="10"/>
      <c r="F19" s="12"/>
      <c r="G19" s="10"/>
      <c r="H19" s="6"/>
      <c r="I19" s="10"/>
      <c r="J19" s="6"/>
      <c r="K19" s="10"/>
      <c r="L19" s="6"/>
      <c r="M19" s="10"/>
      <c r="N19" s="6"/>
      <c r="O19" s="10"/>
      <c r="P19" s="6"/>
      <c r="Q19" s="10"/>
      <c r="R19" s="6"/>
      <c r="S19" s="10"/>
      <c r="T19" s="19"/>
      <c r="U19" s="19"/>
      <c r="V19" s="6"/>
      <c r="X19"/>
    </row>
    <row r="20" spans="1:24" x14ac:dyDescent="0.45">
      <c r="A20" s="30" t="s">
        <v>19</v>
      </c>
      <c r="B20" s="31"/>
      <c r="C20" s="49">
        <f>SUM(C13:C19)</f>
        <v>16.75</v>
      </c>
      <c r="D20" s="31"/>
      <c r="E20" s="49">
        <f>SUM(E13:E19)</f>
        <v>10.5</v>
      </c>
      <c r="F20" s="33"/>
      <c r="G20" s="49">
        <f>SUM(G13:G19)</f>
        <v>10</v>
      </c>
      <c r="H20" s="31"/>
      <c r="I20" s="49">
        <f>SUM(I13:I19)</f>
        <v>15.5</v>
      </c>
      <c r="J20" s="31"/>
      <c r="K20" s="49">
        <f>SUM(K13:K19)</f>
        <v>15.75</v>
      </c>
      <c r="L20" s="31"/>
      <c r="M20" s="49">
        <f>SUM(M13:M19)</f>
        <v>13.5</v>
      </c>
      <c r="N20" s="31"/>
      <c r="O20" s="49">
        <f>SUM(O13:O19)</f>
        <v>19</v>
      </c>
      <c r="P20" s="31"/>
      <c r="Q20" s="49">
        <f>SUM(Q13:Q19)</f>
        <v>0</v>
      </c>
      <c r="R20" s="31"/>
      <c r="S20" s="49">
        <f>SUM(S13:S19)</f>
        <v>11.75</v>
      </c>
      <c r="T20" s="31"/>
      <c r="U20" s="52">
        <f>SUM(U13:U19)</f>
        <v>8.5</v>
      </c>
      <c r="V20" s="52">
        <f>SUM(U20,S20,Q20,O20,M20,K20,I20,G20,E20,C20)</f>
        <v>121.25</v>
      </c>
      <c r="X20"/>
    </row>
    <row r="21" spans="1:24" x14ac:dyDescent="0.45">
      <c r="A21" s="27" t="s">
        <v>11</v>
      </c>
      <c r="B21" t="s">
        <v>17</v>
      </c>
      <c r="C21" s="10">
        <v>1.5</v>
      </c>
      <c r="D21" t="s">
        <v>39</v>
      </c>
      <c r="E21" s="10">
        <v>0.75</v>
      </c>
      <c r="F21" t="s">
        <v>44</v>
      </c>
      <c r="G21" s="10">
        <v>1.5</v>
      </c>
      <c r="H21" t="s">
        <v>50</v>
      </c>
      <c r="I21" s="10">
        <v>1.5</v>
      </c>
      <c r="J21" t="s">
        <v>50</v>
      </c>
      <c r="K21" s="10">
        <v>1.5</v>
      </c>
      <c r="L21" t="s">
        <v>57</v>
      </c>
      <c r="M21" s="8">
        <v>0.75</v>
      </c>
      <c r="N21" t="s">
        <v>50</v>
      </c>
      <c r="O21" s="8">
        <v>1.5</v>
      </c>
      <c r="P21"/>
      <c r="Q21" s="8"/>
      <c r="R21" t="s">
        <v>66</v>
      </c>
      <c r="S21" s="8">
        <v>0.75</v>
      </c>
      <c r="T21" s="7" t="s">
        <v>77</v>
      </c>
      <c r="U21">
        <v>8</v>
      </c>
      <c r="V21" s="6"/>
      <c r="X21"/>
    </row>
    <row r="22" spans="1:24" ht="15" customHeight="1" x14ac:dyDescent="0.45">
      <c r="A22" s="25"/>
      <c r="B22" s="28" t="s">
        <v>18</v>
      </c>
      <c r="C22" s="10">
        <v>2.5</v>
      </c>
      <c r="D22" s="21" t="s">
        <v>41</v>
      </c>
      <c r="E22" s="10">
        <v>1.5</v>
      </c>
      <c r="F22" s="6" t="s">
        <v>45</v>
      </c>
      <c r="G22" s="10">
        <v>1.5</v>
      </c>
      <c r="H22" s="6" t="s">
        <v>37</v>
      </c>
      <c r="I22" s="10">
        <v>1.5</v>
      </c>
      <c r="J22" s="6" t="s">
        <v>53</v>
      </c>
      <c r="K22" s="10">
        <v>0.75</v>
      </c>
      <c r="L22" s="6" t="s">
        <v>79</v>
      </c>
      <c r="M22" s="11">
        <v>10</v>
      </c>
      <c r="N22" s="6" t="s">
        <v>53</v>
      </c>
      <c r="O22" s="11">
        <v>0.75</v>
      </c>
      <c r="P22" s="6"/>
      <c r="Q22" s="11"/>
      <c r="R22" s="6" t="s">
        <v>77</v>
      </c>
      <c r="S22" s="11">
        <v>8</v>
      </c>
      <c r="T22" s="6" t="s">
        <v>78</v>
      </c>
      <c r="U22" s="2">
        <v>10</v>
      </c>
      <c r="V22" s="2"/>
      <c r="X22"/>
    </row>
    <row r="23" spans="1:24" ht="15" customHeight="1" x14ac:dyDescent="0.45">
      <c r="A23" s="25"/>
      <c r="B23" s="28" t="s">
        <v>12</v>
      </c>
      <c r="C23" s="10">
        <v>0.75</v>
      </c>
      <c r="D23" s="21" t="s">
        <v>72</v>
      </c>
      <c r="E23" s="10">
        <v>5</v>
      </c>
      <c r="F23" s="6" t="s">
        <v>74</v>
      </c>
      <c r="G23" s="10">
        <v>7</v>
      </c>
      <c r="H23" s="6" t="s">
        <v>77</v>
      </c>
      <c r="I23" s="10">
        <v>5</v>
      </c>
      <c r="J23" s="6" t="s">
        <v>72</v>
      </c>
      <c r="K23" s="10">
        <v>5</v>
      </c>
      <c r="L23" s="6"/>
      <c r="M23" s="10"/>
      <c r="N23" s="6" t="s">
        <v>61</v>
      </c>
      <c r="O23" s="10">
        <v>0.75</v>
      </c>
      <c r="P23" s="6"/>
      <c r="Q23" s="10"/>
      <c r="R23" s="6" t="s">
        <v>78</v>
      </c>
      <c r="S23" s="10">
        <v>6</v>
      </c>
      <c r="T23" s="6"/>
      <c r="U23" s="2"/>
      <c r="V23" s="2"/>
      <c r="X23"/>
    </row>
    <row r="24" spans="1:24" ht="15" customHeight="1" x14ac:dyDescent="0.45">
      <c r="A24" s="25"/>
      <c r="B24" s="28" t="s">
        <v>35</v>
      </c>
      <c r="C24" s="10">
        <v>1.5</v>
      </c>
      <c r="D24" s="21" t="s">
        <v>74</v>
      </c>
      <c r="E24" s="10">
        <v>4</v>
      </c>
      <c r="F24" s="6" t="s">
        <v>77</v>
      </c>
      <c r="G24" s="10">
        <v>4</v>
      </c>
      <c r="H24" s="6"/>
      <c r="I24" s="10"/>
      <c r="J24" s="6"/>
      <c r="K24" s="10"/>
      <c r="L24" s="6"/>
      <c r="M24" s="10"/>
      <c r="N24" s="6" t="s">
        <v>80</v>
      </c>
      <c r="O24" s="10">
        <v>6</v>
      </c>
      <c r="P24" s="6"/>
      <c r="Q24" s="10"/>
      <c r="R24" s="6"/>
      <c r="S24" s="10"/>
      <c r="T24" s="6"/>
      <c r="U24" s="2"/>
      <c r="V24" s="2"/>
      <c r="X24"/>
    </row>
    <row r="25" spans="1:24" ht="15" customHeight="1" x14ac:dyDescent="0.45">
      <c r="A25" s="25"/>
      <c r="B25" s="28" t="s">
        <v>68</v>
      </c>
      <c r="C25" s="10">
        <v>2.5</v>
      </c>
      <c r="D25" s="21"/>
      <c r="E25" s="10"/>
      <c r="F25" s="6"/>
      <c r="G25" s="10"/>
      <c r="H25" s="6"/>
      <c r="I25" s="10"/>
      <c r="J25" s="6"/>
      <c r="K25" s="10"/>
      <c r="L25" s="6"/>
      <c r="M25" s="10"/>
      <c r="N25" s="6"/>
      <c r="O25" s="10"/>
      <c r="P25" s="6"/>
      <c r="Q25" s="10"/>
      <c r="R25" s="6"/>
      <c r="S25" s="10"/>
      <c r="T25" s="6"/>
      <c r="U25" s="2"/>
      <c r="V25" s="2"/>
      <c r="X25"/>
    </row>
    <row r="26" spans="1:24" ht="15" customHeight="1" x14ac:dyDescent="0.45">
      <c r="A26" s="25"/>
      <c r="B26" s="28"/>
      <c r="C26" s="10"/>
      <c r="D26" s="21"/>
      <c r="E26" s="10"/>
      <c r="F26" s="6"/>
      <c r="G26" s="10"/>
      <c r="H26" s="6"/>
      <c r="I26" s="10"/>
      <c r="J26" s="6"/>
      <c r="K26" s="10"/>
      <c r="L26" s="6"/>
      <c r="M26" s="10"/>
      <c r="N26" s="6"/>
      <c r="O26" s="10"/>
      <c r="P26" s="6"/>
      <c r="Q26" s="10"/>
      <c r="R26" s="6"/>
      <c r="S26" s="10"/>
      <c r="T26" s="6"/>
      <c r="U26" s="2"/>
      <c r="V26" s="2"/>
      <c r="X26"/>
    </row>
    <row r="27" spans="1:24" x14ac:dyDescent="0.45">
      <c r="A27" s="25"/>
      <c r="B27" s="6"/>
      <c r="C27" s="10"/>
      <c r="D27" s="6"/>
      <c r="E27" s="10"/>
      <c r="F27" s="12"/>
      <c r="G27" s="10"/>
      <c r="H27" s="6"/>
      <c r="I27" s="10"/>
      <c r="J27" s="6"/>
      <c r="K27" s="10"/>
      <c r="L27" s="6"/>
      <c r="M27" s="10"/>
      <c r="N27" s="6"/>
      <c r="O27" s="10"/>
      <c r="P27" s="6"/>
      <c r="Q27" s="10"/>
      <c r="R27" s="6"/>
      <c r="T27" s="6"/>
      <c r="U27" s="6"/>
      <c r="V27" s="6"/>
      <c r="X27"/>
    </row>
    <row r="28" spans="1:24" x14ac:dyDescent="0.45">
      <c r="A28" s="30" t="s">
        <v>19</v>
      </c>
      <c r="B28" s="31"/>
      <c r="C28" s="49">
        <f>SUM(C21:C27)</f>
        <v>8.75</v>
      </c>
      <c r="D28" s="31"/>
      <c r="E28" s="49">
        <f>SUM(E21:E27)</f>
        <v>11.25</v>
      </c>
      <c r="F28" s="33"/>
      <c r="G28" s="49">
        <f>SUM(G21:G27)</f>
        <v>14</v>
      </c>
      <c r="H28" s="31"/>
      <c r="I28" s="49">
        <f>SUM(I21:I27)</f>
        <v>8</v>
      </c>
      <c r="J28" s="31"/>
      <c r="K28" s="49">
        <f>SUM(K21:K27)</f>
        <v>7.25</v>
      </c>
      <c r="L28" s="31"/>
      <c r="M28" s="49">
        <f>SUM(M21:M27)</f>
        <v>10.75</v>
      </c>
      <c r="N28" s="31"/>
      <c r="O28" s="49">
        <f>SUM(O21:O27)</f>
        <v>9</v>
      </c>
      <c r="P28" s="31"/>
      <c r="Q28" s="49">
        <f>SUM(Q21:Q27)</f>
        <v>0</v>
      </c>
      <c r="R28" s="31"/>
      <c r="S28" s="49">
        <f>SUM(S21:S26)</f>
        <v>14.75</v>
      </c>
      <c r="T28" s="31"/>
      <c r="U28" s="52">
        <f>SUM(U21:U27)</f>
        <v>18</v>
      </c>
      <c r="V28" s="52">
        <f>SUM(U28,S28,Q28,O28,M28,K28,I28,G28,E28,C28)</f>
        <v>101.75</v>
      </c>
      <c r="X28"/>
    </row>
    <row r="29" spans="1:24" x14ac:dyDescent="0.45">
      <c r="A29" s="25"/>
      <c r="B29" s="5" t="s">
        <v>27</v>
      </c>
      <c r="C29" s="10"/>
      <c r="D29" s="6"/>
      <c r="E29" s="10"/>
      <c r="F29" s="6"/>
      <c r="G29" s="10">
        <v>1.5</v>
      </c>
      <c r="H29" s="6"/>
      <c r="I29" s="51"/>
      <c r="J29" s="6"/>
      <c r="K29" s="10"/>
      <c r="L29" s="6"/>
      <c r="M29" s="8"/>
      <c r="N29" s="6"/>
      <c r="O29" s="8"/>
      <c r="P29" s="6"/>
      <c r="Q29" s="8"/>
      <c r="R29" s="6"/>
      <c r="S29" s="8"/>
      <c r="T29" s="6"/>
      <c r="U29" s="2"/>
      <c r="V29" s="2"/>
      <c r="X29"/>
    </row>
    <row r="30" spans="1:24" x14ac:dyDescent="0.45">
      <c r="A30" s="5"/>
      <c r="B30" s="6"/>
      <c r="C30" s="10"/>
      <c r="D30" s="6"/>
      <c r="E30" s="10"/>
      <c r="F30" s="6"/>
      <c r="G30" s="10"/>
      <c r="H30" s="6"/>
      <c r="I30" s="10"/>
      <c r="J30" s="6"/>
      <c r="K30" s="10"/>
      <c r="L30" s="6"/>
      <c r="M30" s="11"/>
      <c r="N30" s="6"/>
      <c r="O30" s="11"/>
      <c r="P30" s="6"/>
      <c r="Q30" s="11"/>
      <c r="R30" s="6"/>
      <c r="S30" s="11"/>
      <c r="T30" s="6"/>
      <c r="U30" s="2"/>
      <c r="V30" s="2"/>
      <c r="X30"/>
    </row>
    <row r="31" spans="1:24" x14ac:dyDescent="0.45">
      <c r="A31" s="5"/>
      <c r="B31" s="3" t="s">
        <v>23</v>
      </c>
      <c r="C31" s="10"/>
      <c r="E31" s="10"/>
      <c r="F31" s="12"/>
      <c r="G31" s="10"/>
      <c r="I31" s="10"/>
      <c r="J31" s="6"/>
      <c r="K31" s="10"/>
      <c r="L31" s="6"/>
      <c r="M31" s="10"/>
      <c r="N31" s="6"/>
      <c r="O31" s="10"/>
      <c r="P31" s="6"/>
      <c r="Q31" s="10"/>
      <c r="R31" s="6"/>
      <c r="S31" s="10"/>
      <c r="T31" s="6"/>
      <c r="U31" s="2"/>
      <c r="V31" s="2"/>
      <c r="X31"/>
    </row>
    <row r="32" spans="1:24" x14ac:dyDescent="0.45">
      <c r="A32" s="22"/>
      <c r="B32" s="3" t="s">
        <v>24</v>
      </c>
      <c r="C32" s="11" t="s">
        <v>14</v>
      </c>
      <c r="D32" s="6"/>
      <c r="E32" s="11" t="s">
        <v>14</v>
      </c>
      <c r="F32" s="2"/>
      <c r="G32" s="11"/>
      <c r="H32" s="6"/>
      <c r="I32" s="11" t="s">
        <v>14</v>
      </c>
      <c r="J32" s="2"/>
      <c r="K32" s="11" t="s">
        <v>14</v>
      </c>
      <c r="L32" s="2"/>
      <c r="M32" s="11"/>
      <c r="N32" s="2"/>
      <c r="O32" s="11" t="s">
        <v>14</v>
      </c>
      <c r="P32" s="2"/>
      <c r="Q32" s="11" t="s">
        <v>14</v>
      </c>
      <c r="R32" s="2"/>
      <c r="S32" s="11"/>
      <c r="T32" s="2"/>
      <c r="U32" s="2"/>
      <c r="V32" s="2" t="s">
        <v>14</v>
      </c>
      <c r="X32"/>
    </row>
    <row r="33" spans="1:178" x14ac:dyDescent="0.45">
      <c r="A33" s="5"/>
      <c r="B33" s="62" t="s">
        <v>25</v>
      </c>
      <c r="C33" s="10"/>
      <c r="D33" s="2"/>
      <c r="E33" s="10"/>
      <c r="F33" s="12"/>
      <c r="G33" s="10"/>
      <c r="H33" s="6"/>
      <c r="I33" s="10"/>
      <c r="J33" s="6"/>
      <c r="K33" s="10"/>
      <c r="L33" s="6"/>
      <c r="M33" s="10"/>
      <c r="N33" s="6"/>
      <c r="O33" s="10"/>
      <c r="P33" s="6"/>
      <c r="Q33" s="10"/>
      <c r="R33" s="6"/>
      <c r="S33" s="10"/>
      <c r="T33" s="6"/>
      <c r="U33" s="2"/>
      <c r="V33" s="2"/>
      <c r="X33"/>
    </row>
    <row r="34" spans="1:178" x14ac:dyDescent="0.45">
      <c r="A34" s="5"/>
      <c r="B34" s="3" t="s">
        <v>26</v>
      </c>
      <c r="C34" s="10"/>
      <c r="D34" s="2"/>
      <c r="E34" s="10"/>
      <c r="F34" s="12"/>
      <c r="G34" s="10"/>
      <c r="H34" s="6"/>
      <c r="I34" s="10"/>
      <c r="J34" s="6"/>
      <c r="K34" s="10"/>
      <c r="L34" s="6"/>
      <c r="M34" s="10"/>
      <c r="N34" s="6"/>
      <c r="O34" s="10"/>
      <c r="P34" s="6"/>
      <c r="Q34" s="10"/>
      <c r="R34" s="6"/>
      <c r="S34" s="10"/>
      <c r="T34" s="6"/>
      <c r="U34" s="2"/>
      <c r="V34" s="2"/>
      <c r="X34"/>
    </row>
    <row r="35" spans="1:178" x14ac:dyDescent="0.45">
      <c r="A35" s="5"/>
      <c r="B35" s="6"/>
      <c r="C35" s="10"/>
      <c r="D35" s="6"/>
      <c r="E35" s="10"/>
      <c r="F35" s="12"/>
      <c r="G35" s="10"/>
      <c r="H35" s="6"/>
      <c r="I35" s="10"/>
      <c r="J35" s="6"/>
      <c r="K35" s="10"/>
      <c r="L35" s="6"/>
      <c r="M35" s="10"/>
      <c r="N35" s="6"/>
      <c r="O35" s="10"/>
      <c r="P35" s="6"/>
      <c r="Q35" s="10"/>
      <c r="R35" s="6"/>
      <c r="S35" s="10"/>
      <c r="T35" s="6"/>
      <c r="U35" s="2"/>
      <c r="V35" s="2"/>
      <c r="X35"/>
    </row>
    <row r="36" spans="1:178" s="20" customFormat="1" x14ac:dyDescent="0.45">
      <c r="A36" s="34" t="s">
        <v>19</v>
      </c>
      <c r="B36" s="31"/>
      <c r="C36" s="54">
        <f>SUM(C29:C35)</f>
        <v>0</v>
      </c>
      <c r="D36" s="31"/>
      <c r="E36" s="49">
        <f>SUM(E29:E35)</f>
        <v>0</v>
      </c>
      <c r="F36" s="33"/>
      <c r="G36" s="49">
        <f>SUM(G29:G35)</f>
        <v>1.5</v>
      </c>
      <c r="H36" s="34"/>
      <c r="I36" s="49">
        <f>SUM(I29:I35)</f>
        <v>0</v>
      </c>
      <c r="J36" s="34"/>
      <c r="K36" s="49">
        <f>SUM(K29:K35)</f>
        <v>0</v>
      </c>
      <c r="L36" s="31"/>
      <c r="M36" s="49">
        <f>SUM(M29:M35)</f>
        <v>0</v>
      </c>
      <c r="N36" s="31"/>
      <c r="O36" s="49">
        <f>SUM(O29:O35)</f>
        <v>0</v>
      </c>
      <c r="P36" s="31"/>
      <c r="Q36" s="49">
        <f>SUM(Q29:Q35)</f>
        <v>0</v>
      </c>
      <c r="R36" s="31"/>
      <c r="S36" s="49">
        <f>SUM(S29:S35)</f>
        <v>0</v>
      </c>
      <c r="T36" s="31"/>
      <c r="U36" s="53">
        <f>SUM(U29:U35)</f>
        <v>0</v>
      </c>
      <c r="V36" s="53">
        <f>SUM(U36,S36,Q36,O36,M36,K36,I36,G36,E36,C36)</f>
        <v>1.5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</row>
    <row r="37" spans="1:178" s="59" customFormat="1" x14ac:dyDescent="0.45">
      <c r="A37" s="55" t="s">
        <v>15</v>
      </c>
      <c r="B37" s="56"/>
      <c r="C37" s="50">
        <f>SUMIF(A:A,"TOTAL",C:C)</f>
        <v>40.75</v>
      </c>
      <c r="D37" s="56"/>
      <c r="E37" s="50">
        <f>SUMIF(A:A,"TOTAL",E:E)</f>
        <v>36.25</v>
      </c>
      <c r="F37" s="56"/>
      <c r="G37" s="50">
        <f>SUMIF(A:A,"TOTAL",G:G)</f>
        <v>40.25</v>
      </c>
      <c r="H37" s="56"/>
      <c r="I37" s="50">
        <f>SUMIF(A:A,"TOTAL",I:I)</f>
        <v>38</v>
      </c>
      <c r="J37" s="56"/>
      <c r="K37" s="50">
        <f>SUMIF(A:A,"TOTAL",K:K)</f>
        <v>36.75</v>
      </c>
      <c r="L37" s="56"/>
      <c r="M37" s="50">
        <f>SUMIF(A:A,"TOTAL",M:M)</f>
        <v>39</v>
      </c>
      <c r="N37" s="56"/>
      <c r="O37" s="50">
        <f>SUMIF(A:A,"TOTAL",O:O)</f>
        <v>41</v>
      </c>
      <c r="P37" s="56"/>
      <c r="Q37" s="50">
        <f>SUMIF(A:A,"TOTAL",Q:Q)</f>
        <v>0</v>
      </c>
      <c r="R37" s="56"/>
      <c r="S37" s="50">
        <f>SUMIF(A:A,"TOTAL",S:S)</f>
        <v>40.75</v>
      </c>
      <c r="T37" s="57"/>
      <c r="U37" s="58">
        <f>SUMIF(A:A,"TOTAL",U:U)</f>
        <v>37.25</v>
      </c>
      <c r="V37" s="61">
        <f>SUM(U37,S37,Q37,O37,M37,K37,I37,G37,E37,C37)</f>
        <v>350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</row>
    <row r="40" spans="1:178" x14ac:dyDescent="0.45">
      <c r="A40" s="3" t="s">
        <v>23</v>
      </c>
      <c r="B40" s="63"/>
      <c r="C40" s="63"/>
      <c r="D40" s="63"/>
    </row>
    <row r="41" spans="1:178" x14ac:dyDescent="0.45">
      <c r="A41" s="3" t="s">
        <v>24</v>
      </c>
    </row>
    <row r="42" spans="1:178" x14ac:dyDescent="0.45">
      <c r="A42" s="62" t="s">
        <v>25</v>
      </c>
      <c r="B42" s="1"/>
      <c r="C42"/>
      <c r="D42" s="1"/>
      <c r="E42"/>
      <c r="F42" s="1"/>
      <c r="G42"/>
      <c r="H42" s="1"/>
      <c r="I42"/>
      <c r="J42" s="1"/>
      <c r="K42"/>
      <c r="L42" s="1"/>
      <c r="Q42"/>
      <c r="R42" s="1"/>
      <c r="S42"/>
      <c r="T42" s="1"/>
      <c r="U42" s="1"/>
      <c r="V42"/>
      <c r="W42" s="1"/>
      <c r="X42"/>
    </row>
    <row r="43" spans="1:178" x14ac:dyDescent="0.45">
      <c r="A43" s="3" t="s">
        <v>26</v>
      </c>
    </row>
    <row r="44" spans="1:178" x14ac:dyDescent="0.45">
      <c r="A44" s="4"/>
      <c r="B44" s="1"/>
      <c r="C44"/>
      <c r="D44" s="1"/>
      <c r="E44"/>
      <c r="F44" s="1"/>
      <c r="G44"/>
      <c r="H44" s="1"/>
      <c r="I44"/>
      <c r="J44" s="1"/>
      <c r="K44"/>
      <c r="L44" s="1"/>
      <c r="Q44"/>
      <c r="R44" s="1"/>
      <c r="S44"/>
      <c r="T44" s="1"/>
      <c r="U44" s="1"/>
      <c r="V44"/>
      <c r="W44" s="1"/>
      <c r="X44"/>
    </row>
  </sheetData>
  <mergeCells count="1">
    <mergeCell ref="B40:D40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</dc:creator>
  <cp:keywords/>
  <dc:description/>
  <cp:lastModifiedBy>boateng michael</cp:lastModifiedBy>
  <cp:revision/>
  <dcterms:created xsi:type="dcterms:W3CDTF">2012-11-09T17:57:47Z</dcterms:created>
  <dcterms:modified xsi:type="dcterms:W3CDTF">2025-09-05T12:07:15Z</dcterms:modified>
  <cp:category/>
  <cp:contentStatus/>
</cp:coreProperties>
</file>